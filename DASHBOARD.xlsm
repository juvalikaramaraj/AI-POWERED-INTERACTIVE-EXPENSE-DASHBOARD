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8e500b3b4e6c10c1/Documents/JUVALI PROJECTS/AI POWERED INTERACTIVE EXPENSE DASHBOARD/"/>
    </mc:Choice>
  </mc:AlternateContent>
  <xr:revisionPtr revIDLastSave="37" documentId="13_ncr:1_{BFF6D21C-E002-449C-84D1-59C2E3C070D9}" xr6:coauthVersionLast="47" xr6:coauthVersionMax="47" xr10:uidLastSave="{7B67A0BA-DAD3-41FD-9E1C-94299A1F95C3}"/>
  <bookViews>
    <workbookView xWindow="-108" yWindow="-108" windowWidth="23256" windowHeight="12456"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F5" i="3" l="1"/>
  <c r="AF4" i="3"/>
  <c r="AF3" i="3"/>
  <c r="AF2" i="3"/>
  <c r="O56" i="2"/>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6" i="3" l="1"/>
  <c r="AF7" i="3"/>
</calcChain>
</file>

<file path=xl/sharedStrings.xml><?xml version="1.0" encoding="utf-8"?>
<sst xmlns="http://schemas.openxmlformats.org/spreadsheetml/2006/main" count="3406" uniqueCount="938">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</sst>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4" x14ac:knownFonts="1">
    <font>
      <sz val="11"/>
      <color theme="1"/>
      <name val="Aptos Narrow"/>
      <family val="2"/>
      <scheme val="minor"/>
    </font>
    <font>
      <b/>
      <sz val="11"/>
      <color rgb="FFFFFFFF"/>
      <name val="Aptos Narrow"/>
      <family val="2"/>
      <scheme val="minor"/>
    </font>
    <font>
      <sz val="10"/>
      <color theme="1"/>
      <name val="Aptos"/>
      <family val="2"/>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3" fontId="0" fillId="0" borderId="0" xfId="0" applyNumberForma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xf numFmtId="0" fontId="3" fillId="0" borderId="0" xfId="0" pivotButton="1" applyFont="1"/>
    <xf numFmtId="0" fontId="3" fillId="0" borderId="0" xfId="0" applyFont="1"/>
    <xf numFmtId="165" fontId="3" fillId="0" borderId="0" xfId="0" applyNumberFormat="1" applyFont="1"/>
    <xf numFmtId="3" fontId="3" fillId="0" borderId="0" xfId="0" applyNumberFormat="1" applyFont="1"/>
    <xf numFmtId="0" fontId="0" fillId="0" borderId="0" xfId="0" applyNumberFormat="1"/>
  </cellXfs>
  <cellStyles count="1">
    <cellStyle name="Normal" xfId="0" builtinId="0"/>
  </cellStyles>
  <dxfs count="212">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C638-4373-B538-634FD320CF5C}"/>
            </c:ext>
          </c:extLst>
        </c:ser>
        <c:dLbls>
          <c:showLegendKey val="0"/>
          <c:showVal val="0"/>
          <c:showCatName val="0"/>
          <c:showSerName val="0"/>
          <c:showPercent val="0"/>
          <c:showBubbleSize val="0"/>
        </c:dLbls>
        <c:gapWidth val="150"/>
        <c:axId val="1697714832"/>
        <c:axId val="1697726832"/>
      </c:barChart>
      <c:catAx>
        <c:axId val="1697714832"/>
        <c:scaling>
          <c:orientation val="minMax"/>
        </c:scaling>
        <c:delete val="0"/>
        <c:axPos val="b"/>
        <c:numFmt formatCode="General" sourceLinked="1"/>
        <c:majorTickMark val="out"/>
        <c:minorTickMark val="none"/>
        <c:tickLblPos val="nextTo"/>
        <c:spPr>
          <a:ln>
            <a:solidFill>
              <a:srgbClr val="D2D2D2"/>
            </a:solidFill>
          </a:ln>
        </c:spPr>
        <c:crossAx val="1697726832"/>
        <c:crosses val="autoZero"/>
        <c:auto val="1"/>
        <c:lblAlgn val="ctr"/>
        <c:lblOffset val="100"/>
        <c:noMultiLvlLbl val="0"/>
      </c:catAx>
      <c:valAx>
        <c:axId val="169772683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697714832"/>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8636-4E8B-B6BB-48F4095F9C94}"/>
              </c:ext>
            </c:extLst>
          </c:dPt>
          <c:dPt>
            <c:idx val="1"/>
            <c:bubble3D val="0"/>
            <c:spPr>
              <a:solidFill>
                <a:srgbClr val="84C637"/>
              </a:solidFill>
              <a:ln>
                <a:solidFill>
                  <a:srgbClr val="FFFFFF"/>
                </a:solidFill>
              </a:ln>
            </c:spPr>
            <c:extLst>
              <c:ext xmlns:c16="http://schemas.microsoft.com/office/drawing/2014/chart" uri="{C3380CC4-5D6E-409C-BE32-E72D297353CC}">
                <c16:uniqueId val="{00000002-8636-4E8B-B6BB-48F4095F9C94}"/>
              </c:ext>
            </c:extLst>
          </c:dPt>
          <c:dPt>
            <c:idx val="2"/>
            <c:bubble3D val="0"/>
            <c:spPr>
              <a:solidFill>
                <a:srgbClr val="5DB13A"/>
              </a:solidFill>
              <a:ln>
                <a:solidFill>
                  <a:srgbClr val="FFFFFF"/>
                </a:solidFill>
              </a:ln>
            </c:spPr>
            <c:extLst>
              <c:ext xmlns:c16="http://schemas.microsoft.com/office/drawing/2014/chart" uri="{C3380CC4-5D6E-409C-BE32-E72D297353CC}">
                <c16:uniqueId val="{00000003-8636-4E8B-B6BB-48F4095F9C94}"/>
              </c:ext>
            </c:extLst>
          </c:dPt>
          <c:dPt>
            <c:idx val="3"/>
            <c:bubble3D val="0"/>
            <c:spPr>
              <a:solidFill>
                <a:srgbClr val="168A96"/>
              </a:solidFill>
              <a:ln>
                <a:solidFill>
                  <a:srgbClr val="FFFFFF"/>
                </a:solidFill>
              </a:ln>
            </c:spPr>
            <c:extLst>
              <c:ext xmlns:c16="http://schemas.microsoft.com/office/drawing/2014/chart" uri="{C3380CC4-5D6E-409C-BE32-E72D297353CC}">
                <c16:uniqueId val="{00000004-8636-4E8B-B6BB-48F4095F9C94}"/>
              </c:ext>
            </c:extLst>
          </c:dPt>
          <c:dPt>
            <c:idx val="4"/>
            <c:bubble3D val="0"/>
            <c:spPr>
              <a:solidFill>
                <a:srgbClr val="7030A0"/>
              </a:solidFill>
              <a:ln>
                <a:solidFill>
                  <a:srgbClr val="FFFFFF"/>
                </a:solidFill>
              </a:ln>
            </c:spPr>
            <c:extLst>
              <c:ext xmlns:c16="http://schemas.microsoft.com/office/drawing/2014/chart" uri="{C3380CC4-5D6E-409C-BE32-E72D297353CC}">
                <c16:uniqueId val="{00000005-8636-4E8B-B6BB-48F4095F9C94}"/>
              </c:ext>
            </c:extLst>
          </c:dPt>
          <c:dPt>
            <c:idx val="5"/>
            <c:bubble3D val="0"/>
            <c:spPr>
              <a:solidFill>
                <a:srgbClr val="618724"/>
              </a:solidFill>
              <a:ln>
                <a:solidFill>
                  <a:srgbClr val="FFFFFF"/>
                </a:solidFill>
              </a:ln>
            </c:spPr>
            <c:extLst>
              <c:ext xmlns:c16="http://schemas.microsoft.com/office/drawing/2014/chart" uri="{C3380CC4-5D6E-409C-BE32-E72D297353CC}">
                <c16:uniqueId val="{00000006-8636-4E8B-B6BB-48F4095F9C94}"/>
              </c:ext>
            </c:extLst>
          </c:dPt>
          <c:dPt>
            <c:idx val="6"/>
            <c:bubble3D val="0"/>
            <c:spPr>
              <a:solidFill>
                <a:srgbClr val="91A0AA"/>
              </a:solidFill>
              <a:ln>
                <a:solidFill>
                  <a:srgbClr val="FFFFFF"/>
                </a:solidFill>
              </a:ln>
            </c:spPr>
            <c:extLst>
              <c:ext xmlns:c16="http://schemas.microsoft.com/office/drawing/2014/chart" uri="{C3380CC4-5D6E-409C-BE32-E72D297353CC}">
                <c16:uniqueId val="{00000007-8636-4E8B-B6BB-48F4095F9C94}"/>
              </c:ext>
            </c:extLst>
          </c:dPt>
          <c:dPt>
            <c:idx val="7"/>
            <c:bubble3D val="0"/>
            <c:spPr>
              <a:solidFill>
                <a:srgbClr val="ED7D31"/>
              </a:solidFill>
              <a:ln>
                <a:solidFill>
                  <a:srgbClr val="FFFFFF"/>
                </a:solidFill>
              </a:ln>
            </c:spPr>
            <c:extLst>
              <c:ext xmlns:c16="http://schemas.microsoft.com/office/drawing/2014/chart" uri="{C3380CC4-5D6E-409C-BE32-E72D297353CC}">
                <c16:uniqueId val="{00000008-8636-4E8B-B6BB-48F4095F9C94}"/>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8636-4E8B-B6BB-48F4095F9C94}"/>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FA79-416F-93C2-A9071076708D}"/>
            </c:ext>
          </c:extLst>
        </c:ser>
        <c:dLbls>
          <c:showLegendKey val="0"/>
          <c:showVal val="0"/>
          <c:showCatName val="0"/>
          <c:showSerName val="0"/>
          <c:showPercent val="0"/>
          <c:showBubbleSize val="0"/>
        </c:dLbls>
        <c:marker val="1"/>
        <c:smooth val="0"/>
        <c:axId val="1697737872"/>
        <c:axId val="1697734032"/>
      </c:lineChart>
      <c:catAx>
        <c:axId val="1697737872"/>
        <c:scaling>
          <c:orientation val="minMax"/>
        </c:scaling>
        <c:delete val="0"/>
        <c:axPos val="b"/>
        <c:numFmt formatCode="General" sourceLinked="1"/>
        <c:majorTickMark val="out"/>
        <c:minorTickMark val="none"/>
        <c:tickLblPos val="nextTo"/>
        <c:spPr>
          <a:ln>
            <a:solidFill>
              <a:srgbClr val="D2D2D2"/>
            </a:solidFill>
          </a:ln>
        </c:spPr>
        <c:crossAx val="1697734032"/>
        <c:crosses val="autoZero"/>
        <c:auto val="1"/>
        <c:lblAlgn val="ctr"/>
        <c:lblOffset val="100"/>
        <c:noMultiLvlLbl val="0"/>
      </c:catAx>
      <c:valAx>
        <c:axId val="169773403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697737872"/>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EA2B-478A-A560-A626884A6F33}"/>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EA2B-478A-A560-A626884A6F33}"/>
            </c:ext>
          </c:extLst>
        </c:ser>
        <c:dLbls>
          <c:showLegendKey val="0"/>
          <c:showVal val="0"/>
          <c:showCatName val="0"/>
          <c:showSerName val="0"/>
          <c:showPercent val="0"/>
          <c:showBubbleSize val="0"/>
        </c:dLbls>
        <c:gapWidth val="150"/>
        <c:axId val="1697744112"/>
        <c:axId val="1697734512"/>
      </c:barChart>
      <c:catAx>
        <c:axId val="1697744112"/>
        <c:scaling>
          <c:orientation val="minMax"/>
        </c:scaling>
        <c:delete val="0"/>
        <c:axPos val="b"/>
        <c:numFmt formatCode="General" sourceLinked="1"/>
        <c:majorTickMark val="out"/>
        <c:minorTickMark val="none"/>
        <c:tickLblPos val="nextTo"/>
        <c:spPr>
          <a:ln>
            <a:solidFill>
              <a:srgbClr val="D2D2D2"/>
            </a:solidFill>
          </a:ln>
        </c:spPr>
        <c:crossAx val="1697734512"/>
        <c:crosses val="autoZero"/>
        <c:auto val="1"/>
        <c:lblAlgn val="ctr"/>
        <c:lblOffset val="100"/>
        <c:noMultiLvlLbl val="0"/>
      </c:catAx>
      <c:valAx>
        <c:axId val="169773451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697744112"/>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2719-4BB3-A236-0DB8A82A67EE}"/>
            </c:ext>
          </c:extLst>
        </c:ser>
        <c:dLbls>
          <c:showLegendKey val="0"/>
          <c:showVal val="0"/>
          <c:showCatName val="0"/>
          <c:showSerName val="0"/>
          <c:showPercent val="0"/>
          <c:showBubbleSize val="0"/>
        </c:dLbls>
        <c:gapWidth val="70"/>
        <c:axId val="1697740272"/>
        <c:axId val="1697742192"/>
      </c:barChart>
      <c:catAx>
        <c:axId val="1697740272"/>
        <c:scaling>
          <c:orientation val="minMax"/>
        </c:scaling>
        <c:delete val="0"/>
        <c:axPos val="l"/>
        <c:numFmt formatCode="General" sourceLinked="1"/>
        <c:majorTickMark val="out"/>
        <c:minorTickMark val="none"/>
        <c:tickLblPos val="nextTo"/>
        <c:spPr>
          <a:ln>
            <a:solidFill>
              <a:srgbClr val="D2D2D2"/>
            </a:solidFill>
          </a:ln>
        </c:spPr>
        <c:crossAx val="1697742192"/>
        <c:crosses val="autoZero"/>
        <c:auto val="1"/>
        <c:lblAlgn val="ctr"/>
        <c:lblOffset val="100"/>
        <c:noMultiLvlLbl val="0"/>
      </c:catAx>
      <c:valAx>
        <c:axId val="1697742192"/>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697740272"/>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FD1D2295-5ED6-E30F-257D-115C5A4DFCE7}"/>
            </a:ext>
          </a:extLst>
        </xdr:cNvPr>
        <xdr:cNvSpPr/>
      </xdr:nvSpPr>
      <xdr:spPr>
        <a:xfrm>
          <a:off x="0" y="0"/>
          <a:ext cx="166878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1175B5B2-72D5-6DAC-7D99-8876E39FAFEF}"/>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D99D548D-61D3-9792-8209-EE32B11E36A9}"/>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3830474C-728D-3D9E-21BA-DB0796CB36E7}"/>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Jun 30,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EF40F691-6584-49D7-42A0-05314DAC08B9}"/>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3AAACB8E-0CD2-84E7-7257-F56A5A9096CF}"/>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5FD71F7F-B62F-10D4-E880-93D8D995B6C9}"/>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71EC35D6-4E5E-921A-461E-2A5F0AC3D601}"/>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4CF77E5-5827-4FDC-9E91-E5D010F54BB8}" type="TxLink">
            <a:rPr lang="en-US" sz="2800" b="1" i="0" u="none" strike="noStrike">
              <a:solidFill>
                <a:srgbClr val="054A19"/>
              </a:solidFill>
              <a:latin typeface="Aptos"/>
            </a:rPr>
            <a:pPr algn="ctr"/>
            <a:t>18,405K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D958D5F6-4415-AB56-9AF3-6E0E872D6A64}"/>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CCCC008C-42CB-8C4E-5EA7-93EF2DE8164C}"/>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7BFD1086-2085-FD8F-EB56-663FC16EB6DD}"/>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B2A70AD3-94EE-5D91-DB69-B422EDEC2936}"/>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7CEEDA44-2566-F79B-8BBB-6260A6653901}"/>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9E3110A-036B-4156-B423-5F02811FC97F}" type="TxLink">
            <a:rPr lang="en-US" sz="2800" b="1" i="0" u="none" strike="noStrike">
              <a:solidFill>
                <a:srgbClr val="054A19"/>
              </a:solidFill>
              <a:latin typeface="Aptos"/>
            </a:rPr>
            <a:pPr algn="ctr"/>
            <a:t>22,954K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C7B6B53B-E4A3-4200-5DE2-136A3EF8ED58}"/>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7A28FE01-A150-0B70-BECA-8CD7B59307EC}"/>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D2466D49-EF7C-9D2D-5ACE-9ABB8F1D938B}"/>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A75757BB-C832-0CCC-36DB-D9CA66EC0FC7}"/>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E9D22826-45F6-3AE8-E54A-D4C9DF16A4BB}"/>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0656790-CAD2-46C9-A013-3A12E83649F7}" type="TxLink">
            <a:rPr lang="en-US" sz="2800" b="1" i="0" u="none" strike="noStrike">
              <a:solidFill>
                <a:srgbClr val="054A19"/>
              </a:solidFill>
              <a:latin typeface="Aptos"/>
            </a:rPr>
            <a:pPr algn="ctr"/>
            <a:t>4,549K</a:t>
          </a:fld>
          <a:endParaRPr lang="en-IN" sz="2800" b="1">
            <a:solidFill>
              <a:srgbClr val="054A19"/>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61685DA1-C175-32D6-5587-9069547697A1}"/>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A6FB9FBC-7C5E-7379-1AE3-402F8F352314}"/>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1B0AFFEC-5CDC-BBFC-F8A1-D145B3A8D441}"/>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5201AE0E-2869-5784-644E-CD7A62FA0894}"/>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D56FE7D6-9F64-0D2E-A752-B6B0435813C1}"/>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D11A2F1-2A58-4FC2-9389-DBFAC0706E28}" type="TxLink">
            <a:rPr lang="en-US" sz="2800" b="1" i="0" u="none" strike="noStrike">
              <a:solidFill>
                <a:srgbClr val="054A19"/>
              </a:solidFill>
              <a:latin typeface="Aptos"/>
            </a:rPr>
            <a:pPr algn="ctr"/>
            <a:t>415</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CB6BCDB9-5D06-CC1B-212D-52D8EC797492}"/>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AE9B743E-B90B-E152-E2C8-9F6065885733}"/>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90B7B2E2-3548-662F-0ECE-9FD36F0AC0E9}"/>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DDDF1192-7DB9-3A00-159E-8528674404AC}"/>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E8033E89-E792-5B37-1BB9-8329254D8DD6}"/>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E2E704B-DF84-4A47-9BE7-8CF6409E0AFC}" type="TxLink">
            <a:rPr lang="en-US" sz="2800" b="1" i="0" u="none" strike="noStrike">
              <a:solidFill>
                <a:srgbClr val="054A19"/>
              </a:solidFill>
              <a:latin typeface="Aptos"/>
            </a:rPr>
            <a:pPr algn="ctr"/>
            <a:t>81.4%</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AA5D31C9-2FB1-1238-92A5-66322F0892D6}"/>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51D95751-2BA2-8C40-7D3F-A14B5CC7C39A}"/>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F47E808B-CE63-5E37-E2C5-532A886231D9}"/>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5F734A63-05C7-89D1-1336-E95996471C23}"/>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F61FBC1A-7C84-CFF6-86B4-4F2C49015C6A}"/>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ECB7FE9-B97A-4D86-8AD0-B9A6FE835DAC}" type="TxLink">
            <a:rPr lang="en-US" sz="2800" b="1" i="0" u="none" strike="noStrike">
              <a:solidFill>
                <a:srgbClr val="054A19"/>
              </a:solidFill>
              <a:latin typeface="Aptos"/>
            </a:rPr>
            <a:pPr algn="ctr"/>
            <a:t>44K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6329B2C1-812E-8739-9ABF-42E361F5FFDC}"/>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C18D52F4-F069-5385-8A99-BBFE28EE1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28C7729E-31AA-6E93-19A0-94F44CCFD1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5B2A3B63-2ADA-69B0-DEEE-5611B78125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26D329EC-31A0-D35B-181B-DCC849CF45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2E114354-2805-49AB-E7F2-CA18C1DDA2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C68226F8-AADC-5674-5583-5944F6FEF04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237720" y="2194560"/>
              <a:ext cx="445008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EDDFB31D-EC60-8B64-5059-ADF63505C6B9}"/>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237720" y="3337560"/>
              <a:ext cx="445008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ay kumar" refreshedDate="46203.355961574074" createdVersion="8" refreshedVersion="8" minRefreshableVersion="3" recordCount="415" xr:uid="{0B44BEA3-4742-4101-A543-56D8DC6AF2BC}">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7934634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12CE6A-FA8C-418F-8D61-DAD8C8448A43}" name="PT_PaymentMetho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149">
      <pivotArea type="all" dataOnly="0" outline="0" fieldPosition="0"/>
    </format>
    <format dxfId="148">
      <pivotArea outline="0" collapsedLevelsAreSubtotals="1" fieldPosition="0"/>
    </format>
    <format dxfId="147">
      <pivotArea field="6" type="button" dataOnly="0" labelOnly="1" outline="0" axis="axisRow" fieldPosition="0"/>
    </format>
    <format dxfId="146">
      <pivotArea dataOnly="0" labelOnly="1" outline="0" fieldPosition="0">
        <references count="1">
          <reference field="6" count="0"/>
        </references>
      </pivotArea>
    </format>
    <format dxfId="145">
      <pivotArea dataOnly="0" labelOnly="1" grandRow="1" outline="0" fieldPosition="0"/>
    </format>
    <format dxfId="144">
      <pivotArea dataOnly="0" labelOnly="1" outline="0" axis="axisValues" fieldPosition="0"/>
    </format>
    <format dxfId="143">
      <pivotArea type="all" dataOnly="0" outline="0" fieldPosition="0"/>
    </format>
    <format dxfId="142">
      <pivotArea outline="0" collapsedLevelsAreSubtotals="1" fieldPosition="0"/>
    </format>
    <format dxfId="141">
      <pivotArea field="6" type="button" dataOnly="0" labelOnly="1" outline="0" axis="axisRow" fieldPosition="0"/>
    </format>
    <format dxfId="140">
      <pivotArea dataOnly="0" labelOnly="1" outline="0" fieldPosition="0">
        <references count="1">
          <reference field="6" count="0"/>
        </references>
      </pivotArea>
    </format>
    <format dxfId="139">
      <pivotArea dataOnly="0" labelOnly="1" grandRow="1" outline="0" fieldPosition="0"/>
    </format>
    <format dxfId="13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AF27C7-95EC-4184-98E7-0C27AB1DB555}" name="PT_MonthlyTren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161">
      <pivotArea type="all" dataOnly="0" outline="0" fieldPosition="0"/>
    </format>
    <format dxfId="160">
      <pivotArea outline="0" collapsedLevelsAreSubtotals="1" fieldPosition="0"/>
    </format>
    <format dxfId="159">
      <pivotArea field="12" type="button" dataOnly="0" labelOnly="1" outline="0" axis="axisRow" fieldPosition="0"/>
    </format>
    <format dxfId="158">
      <pivotArea dataOnly="0" labelOnly="1" outline="0" fieldPosition="0">
        <references count="1">
          <reference field="12" count="0"/>
        </references>
      </pivotArea>
    </format>
    <format dxfId="157">
      <pivotArea dataOnly="0" labelOnly="1" grandRow="1" outline="0" fieldPosition="0"/>
    </format>
    <format dxfId="156">
      <pivotArea dataOnly="0" labelOnly="1" outline="0" axis="axisValues" fieldPosition="0"/>
    </format>
    <format dxfId="155">
      <pivotArea type="all" dataOnly="0" outline="0" fieldPosition="0"/>
    </format>
    <format dxfId="154">
      <pivotArea outline="0" collapsedLevelsAreSubtotals="1" fieldPosition="0"/>
    </format>
    <format dxfId="153">
      <pivotArea field="12" type="button" dataOnly="0" labelOnly="1" outline="0" axis="axisRow" fieldPosition="0"/>
    </format>
    <format dxfId="152">
      <pivotArea dataOnly="0" labelOnly="1" outline="0" fieldPosition="0">
        <references count="1">
          <reference field="12" count="0"/>
        </references>
      </pivotArea>
    </format>
    <format dxfId="151">
      <pivotArea dataOnly="0" labelOnly="1" grandRow="1" outline="0" fieldPosition="0"/>
    </format>
    <format dxfId="15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1BF567-5C9A-4EF2-892F-988E55CA17D5}" name="PT_ApprovedStatu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162">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7E45E1-4779-4074-B5F4-0FC5A18D5BEF}" name="PT_BudgetVsActual"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174">
      <pivotArea type="all" dataOnly="0" outline="0" fieldPosition="0"/>
    </format>
    <format dxfId="173">
      <pivotArea outline="0" collapsedLevelsAreSubtotals="1" fieldPosition="0"/>
    </format>
    <format dxfId="172">
      <pivotArea field="2" type="button" dataOnly="0" labelOnly="1" outline="0" axis="axisRow" fieldPosition="0"/>
    </format>
    <format dxfId="171">
      <pivotArea dataOnly="0" labelOnly="1" outline="0" fieldPosition="0">
        <references count="1">
          <reference field="2" count="0"/>
        </references>
      </pivotArea>
    </format>
    <format dxfId="170">
      <pivotArea dataOnly="0" labelOnly="1" grandRow="1" outline="0" fieldPosition="0"/>
    </format>
    <format dxfId="169">
      <pivotArea dataOnly="0" labelOnly="1" outline="0" fieldPosition="0">
        <references count="1">
          <reference field="4294967294" count="2">
            <x v="0"/>
            <x v="1"/>
          </reference>
        </references>
      </pivotArea>
    </format>
    <format dxfId="168">
      <pivotArea type="all" dataOnly="0" outline="0" fieldPosition="0"/>
    </format>
    <format dxfId="167">
      <pivotArea outline="0" collapsedLevelsAreSubtotals="1" fieldPosition="0"/>
    </format>
    <format dxfId="166">
      <pivotArea field="2" type="button" dataOnly="0" labelOnly="1" outline="0" axis="axisRow" fieldPosition="0"/>
    </format>
    <format dxfId="165">
      <pivotArea dataOnly="0" labelOnly="1" outline="0" fieldPosition="0">
        <references count="1">
          <reference field="2" count="0"/>
        </references>
      </pivotArea>
    </format>
    <format dxfId="164">
      <pivotArea dataOnly="0" labelOnly="1" grandRow="1" outline="0" fieldPosition="0"/>
    </format>
    <format dxfId="16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80D4C3-B5D0-4C53-9F44-B70A4163CBED}" name="PT_ExpenseByCategory"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186">
      <pivotArea type="all" dataOnly="0" outline="0" fieldPosition="0"/>
    </format>
    <format dxfId="185">
      <pivotArea outline="0" collapsedLevelsAreSubtotals="1" fieldPosition="0"/>
    </format>
    <format dxfId="184">
      <pivotArea field="3" type="button" dataOnly="0" labelOnly="1" outline="0" axis="axisRow" fieldPosition="0"/>
    </format>
    <format dxfId="183">
      <pivotArea dataOnly="0" labelOnly="1" outline="0" fieldPosition="0">
        <references count="1">
          <reference field="3" count="0"/>
        </references>
      </pivotArea>
    </format>
    <format dxfId="182">
      <pivotArea dataOnly="0" labelOnly="1" grandRow="1" outline="0" fieldPosition="0"/>
    </format>
    <format dxfId="181">
      <pivotArea dataOnly="0" labelOnly="1" outline="0" axis="axisValues" fieldPosition="0"/>
    </format>
    <format dxfId="180">
      <pivotArea type="all" dataOnly="0" outline="0" fieldPosition="0"/>
    </format>
    <format dxfId="179">
      <pivotArea outline="0" collapsedLevelsAreSubtotals="1" fieldPosition="0"/>
    </format>
    <format dxfId="178">
      <pivotArea field="3" type="button" dataOnly="0" labelOnly="1" outline="0" axis="axisRow" fieldPosition="0"/>
    </format>
    <format dxfId="177">
      <pivotArea dataOnly="0" labelOnly="1" outline="0" fieldPosition="0">
        <references count="1">
          <reference field="3" count="0"/>
        </references>
      </pivotArea>
    </format>
    <format dxfId="176">
      <pivotArea dataOnly="0" labelOnly="1" grandRow="1" outline="0" fieldPosition="0"/>
    </format>
    <format dxfId="17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F26A47-E917-4FB7-914B-38BF27346F85}" name="PT_ExpenseByDepartment"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198">
      <pivotArea type="all" dataOnly="0" outline="0" fieldPosition="0"/>
    </format>
    <format dxfId="197">
      <pivotArea outline="0" collapsedLevelsAreSubtotals="1" fieldPosition="0"/>
    </format>
    <format dxfId="196">
      <pivotArea field="2" type="button" dataOnly="0" labelOnly="1" outline="0" axis="axisRow" fieldPosition="0"/>
    </format>
    <format dxfId="195">
      <pivotArea dataOnly="0" labelOnly="1" outline="0" fieldPosition="0">
        <references count="1">
          <reference field="2" count="0"/>
        </references>
      </pivotArea>
    </format>
    <format dxfId="194">
      <pivotArea dataOnly="0" labelOnly="1" grandRow="1" outline="0" fieldPosition="0"/>
    </format>
    <format dxfId="193">
      <pivotArea dataOnly="0" labelOnly="1" outline="0" axis="axisValues" fieldPosition="0"/>
    </format>
    <format dxfId="192">
      <pivotArea type="all" dataOnly="0" outline="0" fieldPosition="0"/>
    </format>
    <format dxfId="191">
      <pivotArea outline="0" collapsedLevelsAreSubtotals="1" fieldPosition="0"/>
    </format>
    <format dxfId="190">
      <pivotArea field="2" type="button" dataOnly="0" labelOnly="1" outline="0" axis="axisRow" fieldPosition="0"/>
    </format>
    <format dxfId="189">
      <pivotArea dataOnly="0" labelOnly="1" outline="0" fieldPosition="0">
        <references count="1">
          <reference field="2" count="0"/>
        </references>
      </pivotArea>
    </format>
    <format dxfId="188">
      <pivotArea dataOnly="0" labelOnly="1" grandRow="1" outline="0" fieldPosition="0"/>
    </format>
    <format dxfId="18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D2C49D-92BD-4519-9A99-631F5D6F8A29}" name="PT_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206">
      <pivotArea outline="0" collapsedLevelsAreSubtotals="1" fieldPosition="0"/>
    </format>
    <format dxfId="205">
      <pivotArea outline="0" collapsedLevelsAreSubtotals="1" fieldPosition="0">
        <references count="1">
          <reference field="4294967294" count="1" selected="0">
            <x v="3"/>
          </reference>
        </references>
      </pivotArea>
    </format>
    <format dxfId="204">
      <pivotArea type="all" dataOnly="0" outline="0" fieldPosition="0"/>
    </format>
    <format dxfId="203">
      <pivotArea outline="0" collapsedLevelsAreSubtotals="1" fieldPosition="0"/>
    </format>
    <format dxfId="202">
      <pivotArea dataOnly="0" labelOnly="1" outline="0" fieldPosition="0">
        <references count="1">
          <reference field="4294967294" count="4">
            <x v="0"/>
            <x v="1"/>
            <x v="2"/>
            <x v="3"/>
          </reference>
        </references>
      </pivotArea>
    </format>
    <format dxfId="201">
      <pivotArea type="all" dataOnly="0" outline="0" fieldPosition="0"/>
    </format>
    <format dxfId="200">
      <pivotArea outline="0" collapsedLevelsAreSubtotals="1" fieldPosition="0"/>
    </format>
    <format dxfId="199">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F07098C-1046-4859-B953-5AAC8675826B}"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793463491">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DC1EC56-265B-4D5D-9DDB-99BC4C4BA934}"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793463491">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478A5758-CBBC-438B-A4D0-08A83E95EC56}" cache="Slicer_Month" caption="Month" columnCount="4" style="SlicerStyleLight6" rowHeight="247650"/>
  <slicer name="Department" xr10:uid="{0450FBC6-1192-4F2C-9D48-3A5B294B0169}" cache="Slicer_Department" caption="Department" columnCount="6" style="SlicerStyleLigh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D3963D-F381-41E9-8E2D-E25E467B8D16}" name="tblExpenses" displayName="tblExpenses" ref="A1:M416" totalsRowShown="0" headerRowDxfId="211">
  <autoFilter ref="A1:M416" xr:uid="{8ED3963D-F381-41E9-8E2D-E25E467B8D16}"/>
  <tableColumns count="13">
    <tableColumn id="1" xr3:uid="{2D115EA6-7FD1-4265-B7A5-C458B425BBAF}" name="Expense ID"/>
    <tableColumn id="2" xr3:uid="{E37A4155-97EC-4852-ADA1-A4A9E1FBF289}" name="Date" dataDxfId="210"/>
    <tableColumn id="3" xr3:uid="{B039142D-11E8-4553-B2A7-B6F045D8B4A3}" name="Department"/>
    <tableColumn id="4" xr3:uid="{D47012D9-064E-4941-902C-099025FE0DC5}" name="Category"/>
    <tableColumn id="5" xr3:uid="{FDF8F28E-F9EB-416F-85EF-D3882B0AC3A4}" name="Description"/>
    <tableColumn id="6" xr3:uid="{451E4F00-E0E4-466E-8880-B507AE54D0E9}" name="Amount (INR)" dataDxfId="209"/>
    <tableColumn id="7" xr3:uid="{680B6320-5B53-459C-82E9-95AA6218BC20}" name="Payment Method"/>
    <tableColumn id="8" xr3:uid="{449BDDDA-4A70-406E-A29A-31B0E6CD9EA5}" name="Approved"/>
    <tableColumn id="9" xr3:uid="{A9D4ED73-A2DB-4F6C-B841-A9C236C21B70}" name="Budget Allocated" dataDxfId="208"/>
    <tableColumn id="10" xr3:uid="{E62991C2-BCC5-40AE-9261-A6CB5C523F88}" name="Budget Remaining" dataDxfId="207"/>
    <tableColumn id="11" xr3:uid="{EEAF68BA-A1A6-4503-B38C-966DAA9EE6C4}" name="Vendor Name"/>
    <tableColumn id="12" xr3:uid="{E20CB9F9-F126-4D54-9585-CD8BC85277B2}" name="Invoice Number"/>
    <tableColumn id="13" xr3:uid="{F38B2996-1D55-4A4B-BEF6-06F17E4FB183}"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7612A-3EB5-4C84-8366-0DE8345FCE94}">
  <sheetPr>
    <pageSetUpPr fitToPage="1"/>
  </sheetPr>
  <dimension ref="A1:AF29"/>
  <sheetViews>
    <sheetView showGridLines="0" tabSelected="1" zoomScale="70" zoomScaleNormal="70" workbookViewId="0">
      <selection activeCell="AJ6" sqref="AJ6"/>
    </sheetView>
  </sheetViews>
  <sheetFormatPr defaultRowHeight="13.8" x14ac:dyDescent="0.3"/>
  <cols>
    <col min="1" max="30" width="8.109375" style="6" customWidth="1"/>
    <col min="31" max="31" width="8.88671875" style="6"/>
    <col min="32" max="33" width="0" style="6" hidden="1" customWidth="1"/>
    <col min="34" max="16384" width="8.88671875" style="6"/>
  </cols>
  <sheetData>
    <row r="1" spans="1:32" ht="22.05" customHeight="1" x14ac:dyDescent="0.3">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row>
    <row r="2" spans="1:32" ht="22.05" customHeight="1" x14ac:dyDescent="0.3">
      <c r="A2" s="10"/>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F2" s="7">
        <f>IFERROR(GETPIVOTDATA("Sum of Amount (INR)",Pivot!$M$3),0)</f>
        <v>18405183</v>
      </c>
    </row>
    <row r="3" spans="1:32" ht="22.05" customHeight="1" x14ac:dyDescent="0.3">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F3" s="7">
        <f>IFERROR(GETPIVOTDATA("Sum of Budget Allocated",Pivot!$M$3),0)</f>
        <v>22953950</v>
      </c>
    </row>
    <row r="4" spans="1:32" ht="18" customHeight="1" x14ac:dyDescent="0.3">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F4" s="7">
        <f>IFERROR(GETPIVOTDATA("Sum of Budget Remaining",Pivot!$M$3),0)</f>
        <v>4548767</v>
      </c>
    </row>
    <row r="5" spans="1:32" ht="18" customHeight="1" x14ac:dyDescent="0.3">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F5" s="8">
        <f>IFERROR(GETPIVOTDATA("Count of Expense ID",Pivot!$M$3),0)</f>
        <v>415</v>
      </c>
    </row>
    <row r="6" spans="1:32" ht="18" customHeight="1" x14ac:dyDescent="0.3">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F6" s="9">
        <f>IFERROR(GETPIVOTDATA("Count of Expense ID",Pivot!$J$3,"Approved","Yes")/AF5,0)</f>
        <v>0.81445783132530125</v>
      </c>
    </row>
    <row r="7" spans="1:32" ht="18" customHeight="1" x14ac:dyDescent="0.3">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F7" s="7">
        <f>IFERROR(AF2/AF5,0)</f>
        <v>44349.838554216869</v>
      </c>
    </row>
    <row r="8" spans="1:32" ht="18" customHeight="1" x14ac:dyDescent="0.3">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row>
    <row r="9" spans="1:32" ht="18" customHeight="1" x14ac:dyDescent="0.3">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row>
    <row r="10" spans="1:32" ht="18" customHeight="1" x14ac:dyDescent="0.3">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row>
    <row r="11" spans="1:32" ht="18" customHeight="1" x14ac:dyDescent="0.3">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row>
    <row r="12" spans="1:32" ht="18" customHeight="1" x14ac:dyDescent="0.3">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row>
    <row r="13" spans="1:32" ht="18" customHeight="1" x14ac:dyDescent="0.3">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row>
    <row r="14" spans="1:32" ht="18" customHeight="1" x14ac:dyDescent="0.3">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row>
    <row r="15" spans="1:32" ht="18" customHeight="1" x14ac:dyDescent="0.3">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row>
    <row r="16" spans="1:32" ht="18" customHeight="1" x14ac:dyDescent="0.3">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row>
    <row r="17" spans="1:30" ht="18" customHeight="1" x14ac:dyDescent="0.3">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row>
    <row r="18" spans="1:30" ht="18" customHeight="1" x14ac:dyDescent="0.3">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row>
    <row r="19" spans="1:30" ht="18" customHeight="1" x14ac:dyDescent="0.3">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row>
    <row r="20" spans="1:30" ht="18" customHeight="1" x14ac:dyDescent="0.3">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row>
    <row r="21" spans="1:30" ht="18" customHeight="1" x14ac:dyDescent="0.3">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row>
    <row r="22" spans="1:30" ht="18" customHeight="1" x14ac:dyDescent="0.3">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row>
    <row r="23" spans="1:30" ht="18" customHeight="1" x14ac:dyDescent="0.3">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row>
    <row r="24" spans="1:30" ht="18" customHeight="1" x14ac:dyDescent="0.3">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row>
    <row r="25" spans="1:30" ht="18" customHeight="1" x14ac:dyDescent="0.3">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row>
    <row r="26" spans="1:30" ht="18" customHeight="1" x14ac:dyDescent="0.3">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row>
    <row r="27" spans="1:30" ht="18" customHeight="1" x14ac:dyDescent="0.3">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row>
    <row r="28" spans="1:30" ht="18" customHeight="1" x14ac:dyDescent="0.3">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row>
    <row r="29" spans="1:30" ht="18" customHeight="1" x14ac:dyDescent="0.3">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row>
  </sheetData>
  <pageMargins left="0.7" right="0.7" top="0.75" bottom="0.75" header="0.3" footer="0.3"/>
  <pageSetup scale="48"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workbookViewId="0">
      <selection activeCell="O19" sqref="O19"/>
    </sheetView>
  </sheetViews>
  <sheetFormatPr defaultRowHeight="14.4" x14ac:dyDescent="0.3"/>
  <cols>
    <col min="1" max="1" width="12.21875" bestFit="1" customWidth="1"/>
    <col min="2" max="2" width="11.5546875" bestFit="1" customWidth="1"/>
    <col min="3" max="3" width="13.21875" bestFit="1" customWidth="1"/>
    <col min="4" max="4" width="13.109375" bestFit="1" customWidth="1"/>
    <col min="5" max="5" width="31.21875" bestFit="1" customWidth="1"/>
    <col min="6" max="6" width="14.33203125" bestFit="1" customWidth="1"/>
    <col min="7" max="7" width="17.21875" bestFit="1" customWidth="1"/>
    <col min="8" max="8" width="11.21875" bestFit="1" customWidth="1"/>
    <col min="9" max="9" width="17.44140625" bestFit="1" customWidth="1"/>
    <col min="10" max="10" width="18.21875" bestFit="1" customWidth="1"/>
    <col min="11" max="11" width="17.5546875" bestFit="1" customWidth="1"/>
    <col min="12" max="12" width="16.44140625" bestFit="1" customWidth="1"/>
    <col min="13" max="13" width="8.33203125" bestFit="1" customWidth="1"/>
  </cols>
  <sheetData>
    <row r="1" spans="1:13" s="3" customFormat="1" x14ac:dyDescent="0.3">
      <c r="A1" s="3" t="s">
        <v>0</v>
      </c>
      <c r="B1" s="3" t="s">
        <v>1</v>
      </c>
      <c r="C1" s="3" t="s">
        <v>2</v>
      </c>
      <c r="D1" s="3" t="s">
        <v>3</v>
      </c>
      <c r="E1" s="3" t="s">
        <v>4</v>
      </c>
      <c r="F1" s="3" t="s">
        <v>5</v>
      </c>
      <c r="G1" s="3" t="s">
        <v>6</v>
      </c>
      <c r="H1" s="3" t="s">
        <v>7</v>
      </c>
      <c r="I1" s="3" t="s">
        <v>8</v>
      </c>
      <c r="J1" s="3" t="s">
        <v>9</v>
      </c>
      <c r="K1" s="3" t="s">
        <v>10</v>
      </c>
      <c r="L1" s="3" t="s">
        <v>11</v>
      </c>
      <c r="M1" s="3" t="s">
        <v>918</v>
      </c>
    </row>
    <row r="2" spans="1:13" x14ac:dyDescent="0.3">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8CD95-A726-4C5F-96ED-5ED4F034F41E}">
  <dimension ref="A3:P62"/>
  <sheetViews>
    <sheetView workbookViewId="0">
      <selection activeCell="J24" sqref="J24"/>
    </sheetView>
  </sheetViews>
  <sheetFormatPr defaultRowHeight="14.4" x14ac:dyDescent="0.3"/>
  <cols>
    <col min="1" max="1" width="17.6640625" bestFit="1" customWidth="1"/>
    <col min="2" max="2" width="19" bestFit="1" customWidth="1"/>
    <col min="4" max="4" width="13.44140625" bestFit="1" customWidth="1"/>
    <col min="5" max="5" width="11.88671875"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11" t="s">
        <v>2</v>
      </c>
      <c r="B3" s="12" t="s">
        <v>920</v>
      </c>
      <c r="D3" s="11" t="s">
        <v>3</v>
      </c>
      <c r="E3" s="12" t="s">
        <v>920</v>
      </c>
      <c r="G3" s="11" t="s">
        <v>918</v>
      </c>
      <c r="H3" s="12" t="s">
        <v>920</v>
      </c>
      <c r="J3" s="4" t="s">
        <v>7</v>
      </c>
      <c r="K3" t="s">
        <v>920</v>
      </c>
      <c r="L3" t="s">
        <v>933</v>
      </c>
      <c r="M3" s="12" t="s">
        <v>920</v>
      </c>
      <c r="N3" s="12" t="s">
        <v>934</v>
      </c>
      <c r="O3" s="12" t="s">
        <v>935</v>
      </c>
      <c r="P3" s="12" t="s">
        <v>933</v>
      </c>
    </row>
    <row r="4" spans="1:16" x14ac:dyDescent="0.3">
      <c r="A4" s="12" t="s">
        <v>13</v>
      </c>
      <c r="B4" s="13">
        <v>3366315</v>
      </c>
      <c r="D4" s="12" t="s">
        <v>31</v>
      </c>
      <c r="E4" s="13">
        <v>6030171</v>
      </c>
      <c r="G4" s="12" t="s">
        <v>921</v>
      </c>
      <c r="H4" s="13">
        <v>1379978</v>
      </c>
      <c r="J4" t="s">
        <v>43</v>
      </c>
      <c r="K4" s="2">
        <v>3628179</v>
      </c>
      <c r="L4" s="5">
        <v>77</v>
      </c>
      <c r="M4" s="13">
        <v>18405183</v>
      </c>
      <c r="N4" s="13">
        <v>22953950</v>
      </c>
      <c r="O4" s="13">
        <v>4548767</v>
      </c>
      <c r="P4" s="14">
        <v>415</v>
      </c>
    </row>
    <row r="5" spans="1:16" x14ac:dyDescent="0.3">
      <c r="A5" s="12" t="s">
        <v>92</v>
      </c>
      <c r="B5" s="13">
        <v>2611075</v>
      </c>
      <c r="D5" s="12" t="s">
        <v>36</v>
      </c>
      <c r="E5" s="13">
        <v>3671418</v>
      </c>
      <c r="G5" s="12" t="s">
        <v>922</v>
      </c>
      <c r="H5" s="13">
        <v>1058599</v>
      </c>
      <c r="J5" t="s">
        <v>17</v>
      </c>
      <c r="K5" s="2">
        <v>14777004</v>
      </c>
      <c r="L5" s="5">
        <v>338</v>
      </c>
    </row>
    <row r="6" spans="1:16" x14ac:dyDescent="0.3">
      <c r="A6" s="12" t="s">
        <v>72</v>
      </c>
      <c r="B6" s="13">
        <v>3616924</v>
      </c>
      <c r="D6" s="12" t="s">
        <v>21</v>
      </c>
      <c r="E6" s="13">
        <v>3505155</v>
      </c>
      <c r="G6" s="12" t="s">
        <v>923</v>
      </c>
      <c r="H6" s="13">
        <v>1179601</v>
      </c>
      <c r="J6" t="s">
        <v>919</v>
      </c>
      <c r="K6" s="2">
        <v>18405183</v>
      </c>
      <c r="L6" s="15">
        <v>415</v>
      </c>
    </row>
    <row r="7" spans="1:16" x14ac:dyDescent="0.3">
      <c r="A7" s="12" t="s">
        <v>21</v>
      </c>
      <c r="B7" s="13">
        <v>3010276</v>
      </c>
      <c r="D7" s="12" t="s">
        <v>26</v>
      </c>
      <c r="E7" s="13">
        <v>208093</v>
      </c>
      <c r="G7" s="12" t="s">
        <v>924</v>
      </c>
      <c r="H7" s="13">
        <v>1317668</v>
      </c>
    </row>
    <row r="8" spans="1:16" x14ac:dyDescent="0.3">
      <c r="A8" s="12" t="s">
        <v>114</v>
      </c>
      <c r="B8" s="13">
        <v>3346621</v>
      </c>
      <c r="D8" s="12" t="s">
        <v>14</v>
      </c>
      <c r="E8" s="13">
        <v>1743238</v>
      </c>
      <c r="G8" s="12" t="s">
        <v>925</v>
      </c>
      <c r="H8" s="13">
        <v>1780658</v>
      </c>
    </row>
    <row r="9" spans="1:16" x14ac:dyDescent="0.3">
      <c r="A9" s="12" t="s">
        <v>46</v>
      </c>
      <c r="B9" s="13">
        <v>2453972</v>
      </c>
      <c r="D9" s="12" t="s">
        <v>132</v>
      </c>
      <c r="E9" s="13">
        <v>772840</v>
      </c>
      <c r="G9" s="12" t="s">
        <v>926</v>
      </c>
      <c r="H9" s="13">
        <v>1286080</v>
      </c>
    </row>
    <row r="10" spans="1:16" x14ac:dyDescent="0.3">
      <c r="A10" s="12" t="s">
        <v>919</v>
      </c>
      <c r="B10" s="13">
        <v>18405183</v>
      </c>
      <c r="D10" s="12" t="s">
        <v>58</v>
      </c>
      <c r="E10" s="13">
        <v>2023948</v>
      </c>
      <c r="G10" s="12" t="s">
        <v>927</v>
      </c>
      <c r="H10" s="13">
        <v>2119404</v>
      </c>
    </row>
    <row r="11" spans="1:16" x14ac:dyDescent="0.3">
      <c r="D11" s="12" t="s">
        <v>54</v>
      </c>
      <c r="E11" s="13">
        <v>450320</v>
      </c>
      <c r="G11" s="12" t="s">
        <v>928</v>
      </c>
      <c r="H11" s="13">
        <v>1669539</v>
      </c>
    </row>
    <row r="12" spans="1:16" x14ac:dyDescent="0.3">
      <c r="D12" s="12" t="s">
        <v>919</v>
      </c>
      <c r="E12" s="13">
        <v>18405183</v>
      </c>
      <c r="G12" s="12" t="s">
        <v>929</v>
      </c>
      <c r="H12" s="13">
        <v>1913484</v>
      </c>
    </row>
    <row r="13" spans="1:16" x14ac:dyDescent="0.3">
      <c r="G13" s="12" t="s">
        <v>930</v>
      </c>
      <c r="H13" s="13">
        <v>1365637</v>
      </c>
    </row>
    <row r="14" spans="1:16" x14ac:dyDescent="0.3">
      <c r="G14" s="12" t="s">
        <v>931</v>
      </c>
      <c r="H14" s="13">
        <v>1795988</v>
      </c>
    </row>
    <row r="15" spans="1:16" x14ac:dyDescent="0.3">
      <c r="G15" s="12" t="s">
        <v>932</v>
      </c>
      <c r="H15" s="13">
        <v>1538547</v>
      </c>
    </row>
    <row r="16" spans="1:16" x14ac:dyDescent="0.3">
      <c r="G16" s="12" t="s">
        <v>919</v>
      </c>
      <c r="H16" s="13">
        <v>18405183</v>
      </c>
    </row>
    <row r="25" spans="1:6" x14ac:dyDescent="0.3">
      <c r="A25" s="11" t="s">
        <v>6</v>
      </c>
      <c r="B25" s="12" t="s">
        <v>920</v>
      </c>
      <c r="D25" s="11" t="s">
        <v>2</v>
      </c>
      <c r="E25" s="12" t="s">
        <v>936</v>
      </c>
      <c r="F25" s="12" t="s">
        <v>934</v>
      </c>
    </row>
    <row r="26" spans="1:6" x14ac:dyDescent="0.3">
      <c r="A26" s="12" t="s">
        <v>51</v>
      </c>
      <c r="B26" s="13">
        <v>4908988</v>
      </c>
      <c r="D26" s="12" t="s">
        <v>13</v>
      </c>
      <c r="E26" s="13">
        <v>3366315</v>
      </c>
      <c r="F26" s="13">
        <v>4162201</v>
      </c>
    </row>
    <row r="27" spans="1:6" x14ac:dyDescent="0.3">
      <c r="A27" s="12" t="s">
        <v>16</v>
      </c>
      <c r="B27" s="13">
        <v>4388835</v>
      </c>
      <c r="D27" s="12" t="s">
        <v>92</v>
      </c>
      <c r="E27" s="13">
        <v>2611075</v>
      </c>
      <c r="F27" s="13">
        <v>3159110</v>
      </c>
    </row>
    <row r="28" spans="1:6" x14ac:dyDescent="0.3">
      <c r="A28" s="12" t="s">
        <v>38</v>
      </c>
      <c r="B28" s="13">
        <v>5477461</v>
      </c>
      <c r="D28" s="12" t="s">
        <v>72</v>
      </c>
      <c r="E28" s="13">
        <v>3616924</v>
      </c>
      <c r="F28" s="13">
        <v>4425089</v>
      </c>
    </row>
    <row r="29" spans="1:6" x14ac:dyDescent="0.3">
      <c r="A29" s="12" t="s">
        <v>23</v>
      </c>
      <c r="B29" s="13">
        <v>3629899</v>
      </c>
      <c r="D29" s="12" t="s">
        <v>21</v>
      </c>
      <c r="E29" s="13">
        <v>3010276</v>
      </c>
      <c r="F29" s="13">
        <v>3898633</v>
      </c>
    </row>
    <row r="30" spans="1:6" x14ac:dyDescent="0.3">
      <c r="A30" s="12" t="s">
        <v>919</v>
      </c>
      <c r="B30" s="13">
        <v>18405183</v>
      </c>
      <c r="D30" s="12" t="s">
        <v>114</v>
      </c>
      <c r="E30" s="13">
        <v>3346621</v>
      </c>
      <c r="F30" s="13">
        <v>4160632</v>
      </c>
    </row>
    <row r="31" spans="1:6" x14ac:dyDescent="0.3">
      <c r="D31" s="12" t="s">
        <v>46</v>
      </c>
      <c r="E31" s="13">
        <v>2453972</v>
      </c>
      <c r="F31" s="13">
        <v>3148285</v>
      </c>
    </row>
    <row r="32" spans="1:6" x14ac:dyDescent="0.3">
      <c r="D32" s="12" t="s">
        <v>919</v>
      </c>
      <c r="E32" s="13">
        <v>18405183</v>
      </c>
      <c r="F32" s="13">
        <v>22953950</v>
      </c>
    </row>
    <row r="50" spans="1:15" x14ac:dyDescent="0.3">
      <c r="A50" t="s">
        <v>2</v>
      </c>
      <c r="B50" t="s">
        <v>937</v>
      </c>
      <c r="D50" t="s">
        <v>3</v>
      </c>
      <c r="E50" t="s">
        <v>937</v>
      </c>
      <c r="G50" t="s">
        <v>918</v>
      </c>
      <c r="H50" t="s">
        <v>937</v>
      </c>
      <c r="J50" t="s">
        <v>6</v>
      </c>
      <c r="K50" t="s">
        <v>937</v>
      </c>
      <c r="M50" t="s">
        <v>2</v>
      </c>
      <c r="N50" t="s">
        <v>936</v>
      </c>
      <c r="O50" t="s">
        <v>8</v>
      </c>
    </row>
    <row r="51" spans="1:15" x14ac:dyDescent="0.3">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Pivot!$D$26</f>
        <v>Engineering</v>
      </c>
      <c r="N51" s="2">
        <f>Pivot!$E$26</f>
        <v>3366315</v>
      </c>
      <c r="O51" s="2">
        <f>Pivot!$F$26</f>
        <v>4162201</v>
      </c>
    </row>
    <row r="52" spans="1:15" x14ac:dyDescent="0.3">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Pivot!$D$27</f>
        <v>Finance</v>
      </c>
      <c r="N52" s="2">
        <f>Pivot!$E$27</f>
        <v>2611075</v>
      </c>
      <c r="O52" s="2">
        <f>Pivot!$F$27</f>
        <v>3159110</v>
      </c>
    </row>
    <row r="53" spans="1:15" x14ac:dyDescent="0.3">
      <c r="A53" t="str">
        <f>Pivot!$A$6</f>
        <v>HR</v>
      </c>
      <c r="B53" s="2">
        <f>Pivot!$B$6</f>
        <v>3616924</v>
      </c>
      <c r="D53" t="str">
        <f>Pivot!$D$6</f>
        <v>Marketing</v>
      </c>
      <c r="E53" s="2">
        <f>Pivot!$E$6</f>
        <v>3505155</v>
      </c>
      <c r="G53" t="str">
        <f>Pivot!$G$6</f>
        <v>Mar</v>
      </c>
      <c r="H53" s="2">
        <f>Pivot!$H$6</f>
        <v>1179601</v>
      </c>
      <c r="J53" t="str">
        <f>Pivot!$A$28</f>
        <v>Cheque</v>
      </c>
      <c r="K53" s="2">
        <f>Pivot!$B$28</f>
        <v>5477461</v>
      </c>
      <c r="M53" t="str">
        <f>Pivot!$D$28</f>
        <v>HR</v>
      </c>
      <c r="N53" s="2">
        <f>Pivot!$E$28</f>
        <v>3616924</v>
      </c>
      <c r="O53" s="2">
        <f>Pivot!$F$28</f>
        <v>4425089</v>
      </c>
    </row>
    <row r="54" spans="1:15" x14ac:dyDescent="0.3">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Pivot!$D$29</f>
        <v>Marketing</v>
      </c>
      <c r="N54" s="2">
        <f>Pivot!$E$29</f>
        <v>3010276</v>
      </c>
      <c r="O54" s="2">
        <f>Pivot!$F$29</f>
        <v>3898633</v>
      </c>
    </row>
    <row r="55" spans="1:15" x14ac:dyDescent="0.3">
      <c r="A55" t="str">
        <f>Pivot!$A$8</f>
        <v>Operations</v>
      </c>
      <c r="B55" s="2">
        <f>Pivot!$B$8</f>
        <v>3346621</v>
      </c>
      <c r="D55" t="str">
        <f>Pivot!$D$8</f>
        <v>Software</v>
      </c>
      <c r="E55" s="2">
        <f>Pivot!$E$8</f>
        <v>1743238</v>
      </c>
      <c r="G55" t="str">
        <f>Pivot!$G$8</f>
        <v>May</v>
      </c>
      <c r="H55" s="2">
        <f>Pivot!$H$8</f>
        <v>1780658</v>
      </c>
      <c r="M55" t="str">
        <f>Pivot!$D$30</f>
        <v>Operations</v>
      </c>
      <c r="N55" s="2">
        <f>Pivot!$E$30</f>
        <v>3346621</v>
      </c>
      <c r="O55" s="2">
        <f>Pivot!$F$30</f>
        <v>4160632</v>
      </c>
    </row>
    <row r="56" spans="1:15" x14ac:dyDescent="0.3">
      <c r="A56" t="str">
        <f>Pivot!$A$9</f>
        <v>Sales</v>
      </c>
      <c r="B56" s="2">
        <f>Pivot!$B$9</f>
        <v>2453972</v>
      </c>
      <c r="D56" t="str">
        <f>Pivot!$D$9</f>
        <v>Training</v>
      </c>
      <c r="E56" s="2">
        <f>Pivot!$E$9</f>
        <v>772840</v>
      </c>
      <c r="G56" t="str">
        <f>Pivot!$G$9</f>
        <v>Jun</v>
      </c>
      <c r="H56" s="2">
        <f>Pivot!$H$9</f>
        <v>1286080</v>
      </c>
      <c r="M56" t="str">
        <f>Pivot!$D$31</f>
        <v>Sales</v>
      </c>
      <c r="N56" s="2">
        <f>Pivot!$E$31</f>
        <v>2453972</v>
      </c>
      <c r="O56" s="2">
        <f>Pivot!$F$31</f>
        <v>3148285</v>
      </c>
    </row>
    <row r="57" spans="1:15" x14ac:dyDescent="0.3">
      <c r="D57" t="str">
        <f>Pivot!$D$10</f>
        <v>Travel</v>
      </c>
      <c r="E57" s="2">
        <f>Pivot!$E$10</f>
        <v>2023948</v>
      </c>
      <c r="G57" t="str">
        <f>Pivot!$G$10</f>
        <v>Jul</v>
      </c>
      <c r="H57" s="2">
        <f>Pivot!$H$10</f>
        <v>2119404</v>
      </c>
    </row>
    <row r="58" spans="1:15" x14ac:dyDescent="0.3">
      <c r="D58" t="str">
        <f>Pivot!$D$11</f>
        <v>Utilities</v>
      </c>
      <c r="E58" s="2">
        <f>Pivot!$E$11</f>
        <v>450320</v>
      </c>
      <c r="G58" t="str">
        <f>Pivot!$G$11</f>
        <v>Aug</v>
      </c>
      <c r="H58" s="2">
        <f>Pivot!$H$11</f>
        <v>1669539</v>
      </c>
    </row>
    <row r="59" spans="1:15" x14ac:dyDescent="0.3">
      <c r="G59" t="str">
        <f>Pivot!$G$12</f>
        <v>Sep</v>
      </c>
      <c r="H59" s="2">
        <f>Pivot!$H$12</f>
        <v>1913484</v>
      </c>
    </row>
    <row r="60" spans="1:15" x14ac:dyDescent="0.3">
      <c r="G60" t="str">
        <f>Pivot!$G$13</f>
        <v>Oct</v>
      </c>
      <c r="H60" s="2">
        <f>Pivot!$H$13</f>
        <v>1365637</v>
      </c>
    </row>
    <row r="61" spans="1:15" x14ac:dyDescent="0.3">
      <c r="G61" t="str">
        <f>Pivot!$G$14</f>
        <v>Nov</v>
      </c>
      <c r="H61" s="2">
        <f>Pivot!$H$14</f>
        <v>1795988</v>
      </c>
    </row>
    <row r="62" spans="1:15" x14ac:dyDescent="0.3">
      <c r="G62" t="str">
        <f>Pivot!$G$15</f>
        <v>Dec</v>
      </c>
      <c r="H62" s="2">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Ajay kumar</cp:lastModifiedBy>
  <cp:lastPrinted>2026-07-03T13:46:54Z</cp:lastPrinted>
  <dcterms:created xsi:type="dcterms:W3CDTF">2026-05-19T08:07:04Z</dcterms:created>
  <dcterms:modified xsi:type="dcterms:W3CDTF">2026-07-04T05:55:03Z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